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c934635c0a721/Kusters ^0 Camargo Consultoria/Symrise/2024/"/>
    </mc:Choice>
  </mc:AlternateContent>
  <xr:revisionPtr revIDLastSave="65" documentId="8_{A92CBCEC-7BA6-42ED-9B66-A610D21A3181}" xr6:coauthVersionLast="47" xr6:coauthVersionMax="47" xr10:uidLastSave="{19F122FC-FD28-44EB-9C5E-48C4E130EB6B}"/>
  <bookViews>
    <workbookView xWindow="-120" yWindow="-120" windowWidth="38640" windowHeight="15720" xr2:uid="{9B8E735D-0C1E-47AD-9C9A-84B9C5716F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4" i="1"/>
  <c r="J13" i="1"/>
  <c r="J12" i="1"/>
  <c r="G17" i="1"/>
  <c r="F17" i="1"/>
  <c r="F15" i="1"/>
  <c r="G15" i="1"/>
  <c r="F16" i="1"/>
  <c r="G16" i="1"/>
  <c r="H14" i="1"/>
  <c r="J5" i="1"/>
  <c r="J4" i="1"/>
  <c r="J3" i="1"/>
  <c r="G6" i="1"/>
  <c r="F6" i="1"/>
  <c r="H5" i="1"/>
</calcChain>
</file>

<file path=xl/sharedStrings.xml><?xml version="1.0" encoding="utf-8"?>
<sst xmlns="http://schemas.openxmlformats.org/spreadsheetml/2006/main" count="20" uniqueCount="13">
  <si>
    <t>VCP</t>
  </si>
  <si>
    <t>UND</t>
  </si>
  <si>
    <t>VOL</t>
  </si>
  <si>
    <t>TKT MEDIO UND</t>
  </si>
  <si>
    <t>PRICE</t>
  </si>
  <si>
    <t>UNIT</t>
  </si>
  <si>
    <t>DIF</t>
  </si>
  <si>
    <t>PRICE (VCP/UND)</t>
  </si>
  <si>
    <t>(118-121)*76,44</t>
  </si>
  <si>
    <t>118*(83-76)</t>
  </si>
  <si>
    <t>VOL UND</t>
  </si>
  <si>
    <t>CALCULO</t>
  </si>
  <si>
    <t>TKT MEDIO POR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</si>
</sst>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70" formatCode="0.0"/>
    <numFmt numFmtId="171" formatCode="_-* #,##0.0_-;\-* #,##0.0_-;_-* &quot;-&quot;?_-;_-@_-"/>
  </numFmts>
  <fonts count="2" x14ac:knownFonts="1">
    <font>
      <sz val="11"/>
      <color theme="1"/>
      <name val="Roboto"/>
      <family val="2"/>
    </font>
    <font>
      <sz val="11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0" xfId="0" applyFill="1"/>
    <xf numFmtId="170" fontId="0" fillId="0" borderId="0" xfId="0" applyNumberFormat="1"/>
    <xf numFmtId="170" fontId="0" fillId="0" borderId="0" xfId="0" applyNumberFormat="1" applyAlignment="1">
      <alignment horizontal="center"/>
    </xf>
    <xf numFmtId="171" fontId="0" fillId="0" borderId="0" xfId="0" applyNumberFormat="1"/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DCB4CA33-48BC-4FC1-9BB8-6976B2433D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D49-986F-4A14-9237-D52DB45C94B2}">
  <dimension ref="E2:L22"/>
  <sheetViews>
    <sheetView tabSelected="1" workbookViewId="0">
      <selection activeCell="I21" sqref="I21"/>
    </sheetView>
  </sheetViews>
  <sheetFormatPr defaultRowHeight="15" x14ac:dyDescent="0.25"/>
  <cols>
    <col min="5" max="5" width="18.875" bestFit="1" customWidth="1"/>
    <col min="6" max="6" width="15.625" bestFit="1" customWidth="1"/>
    <col min="7" max="7" width="14.25" bestFit="1" customWidth="1"/>
    <col min="8" max="8" width="12.625" bestFit="1" customWidth="1"/>
    <col min="10" max="10" width="12.625" bestFit="1" customWidth="1"/>
    <col min="11" max="11" width="14.25" bestFit="1" customWidth="1"/>
  </cols>
  <sheetData>
    <row r="2" spans="5:11" x14ac:dyDescent="0.25">
      <c r="F2">
        <v>2021</v>
      </c>
      <c r="G2">
        <v>2022</v>
      </c>
      <c r="H2" s="2" t="s">
        <v>6</v>
      </c>
      <c r="K2" t="s">
        <v>11</v>
      </c>
    </row>
    <row r="3" spans="5:11" x14ac:dyDescent="0.25">
      <c r="E3" t="s">
        <v>1</v>
      </c>
      <c r="F3" s="1">
        <v>120562500</v>
      </c>
      <c r="G3" s="1">
        <v>118771000</v>
      </c>
      <c r="H3" s="3"/>
      <c r="I3" t="s">
        <v>1</v>
      </c>
      <c r="J3" s="3">
        <f>(G3-F3)*F6</f>
        <v>-136943931.69517887</v>
      </c>
      <c r="K3" s="5" t="s">
        <v>8</v>
      </c>
    </row>
    <row r="4" spans="5:11" x14ac:dyDescent="0.25">
      <c r="E4" t="s">
        <v>2</v>
      </c>
      <c r="F4" s="1">
        <v>13908550</v>
      </c>
      <c r="G4" s="1">
        <v>13582770</v>
      </c>
      <c r="H4" s="3"/>
      <c r="I4" t="s">
        <v>4</v>
      </c>
      <c r="J4" s="3">
        <f>G3*(G6-F6)</f>
        <v>791768931.69517803</v>
      </c>
      <c r="K4" s="5" t="s">
        <v>9</v>
      </c>
    </row>
    <row r="5" spans="5:11" x14ac:dyDescent="0.25">
      <c r="E5" t="s">
        <v>0</v>
      </c>
      <c r="F5" s="1">
        <v>9215910000</v>
      </c>
      <c r="G5" s="1">
        <v>9870735000</v>
      </c>
      <c r="H5" s="3">
        <f t="shared" ref="H5" si="0">G5-F5</f>
        <v>654825000</v>
      </c>
      <c r="J5" s="3">
        <f>SUM(J3:J4)</f>
        <v>654824999.99999917</v>
      </c>
    </row>
    <row r="6" spans="5:11" x14ac:dyDescent="0.25">
      <c r="E6" t="s">
        <v>7</v>
      </c>
      <c r="F6" s="7">
        <f>F5/F3</f>
        <v>76.440933125972009</v>
      </c>
      <c r="G6" s="7">
        <f>G5/G3</f>
        <v>83.107282080642577</v>
      </c>
    </row>
    <row r="11" spans="5:11" x14ac:dyDescent="0.25">
      <c r="F11">
        <v>2021</v>
      </c>
      <c r="G11">
        <v>2022</v>
      </c>
      <c r="H11" s="2" t="s">
        <v>6</v>
      </c>
    </row>
    <row r="12" spans="5:11" x14ac:dyDescent="0.25">
      <c r="E12" t="s">
        <v>1</v>
      </c>
      <c r="F12" s="1">
        <v>120562500</v>
      </c>
      <c r="G12" s="1">
        <v>118771000</v>
      </c>
      <c r="H12" s="3"/>
      <c r="I12" t="s">
        <v>5</v>
      </c>
      <c r="J12" s="3">
        <f>(G12-F12)*F16*F17</f>
        <v>-136943931.69517887</v>
      </c>
    </row>
    <row r="13" spans="5:11" x14ac:dyDescent="0.25">
      <c r="E13" t="s">
        <v>2</v>
      </c>
      <c r="F13" s="1">
        <v>13908550</v>
      </c>
      <c r="G13" s="1">
        <v>13582770</v>
      </c>
      <c r="H13" s="3"/>
      <c r="I13" t="s">
        <v>2</v>
      </c>
      <c r="J13" s="3">
        <f>G12*(G16-F16)*F17</f>
        <v>-78920350.332782298</v>
      </c>
    </row>
    <row r="14" spans="5:11" x14ac:dyDescent="0.25">
      <c r="E14" t="s">
        <v>0</v>
      </c>
      <c r="F14" s="1">
        <v>9215910000</v>
      </c>
      <c r="G14" s="1">
        <v>9870735000</v>
      </c>
      <c r="H14" s="3">
        <f t="shared" ref="H14" si="1">G14-F14</f>
        <v>654825000</v>
      </c>
      <c r="I14" t="s">
        <v>4</v>
      </c>
      <c r="J14" s="3">
        <f>G12*G16*(G17-F17)</f>
        <v>870689282.02796113</v>
      </c>
    </row>
    <row r="15" spans="5:11" x14ac:dyDescent="0.25">
      <c r="E15" t="s">
        <v>3</v>
      </c>
      <c r="F15">
        <f>F14/F12</f>
        <v>76.440933125972009</v>
      </c>
      <c r="G15">
        <f>G14/G12</f>
        <v>83.107282080642577</v>
      </c>
      <c r="J15" s="3">
        <f>SUM(J12:J14)</f>
        <v>654825000</v>
      </c>
    </row>
    <row r="16" spans="5:11" x14ac:dyDescent="0.25">
      <c r="E16" t="s">
        <v>10</v>
      </c>
      <c r="F16">
        <f>F13/F12</f>
        <v>0.11536381544841887</v>
      </c>
      <c r="G16">
        <f>G13/G12</f>
        <v>0.11436099721312441</v>
      </c>
    </row>
    <row r="17" spans="5:12" x14ac:dyDescent="0.25">
      <c r="E17" t="s">
        <v>12</v>
      </c>
      <c r="F17" s="6">
        <f>F14/F13</f>
        <v>662.60753277660149</v>
      </c>
      <c r="G17" s="6">
        <f>G14/G13</f>
        <v>726.7100157037188</v>
      </c>
    </row>
    <row r="18" spans="5:12" x14ac:dyDescent="0.25">
      <c r="F18" s="8"/>
    </row>
    <row r="22" spans="5:12" x14ac:dyDescent="0.25">
      <c r="L2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Kusters</dc:creator>
  <cp:lastModifiedBy>Daniel Kusters</cp:lastModifiedBy>
  <dcterms:created xsi:type="dcterms:W3CDTF">2025-07-05T20:18:11Z</dcterms:created>
  <dcterms:modified xsi:type="dcterms:W3CDTF">2025-07-07T15:07:08Z</dcterms:modified>
</cp:coreProperties>
</file>